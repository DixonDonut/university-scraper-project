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ts-pilani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'bits-pilani'!$A$1:$G$68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7F6000"/>
    </font>
    <font>
      <color rgb="000563C1"/>
      <u val="single"/>
    </font>
    <font>
      <color rgb="00000000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1" fillId="2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62" customWidth="1" min="3" max="3"/>
    <col width="14" customWidth="1" min="4" max="4"/>
    <col width="22" customWidth="1" min="5" max="5"/>
    <col width="22" customWidth="1" min="6" max="6"/>
    <col width="20" customWidth="1" min="7" max="7"/>
  </cols>
  <sheetData>
    <row r="1" ht="20" customHeight="1">
      <c r="A1" s="1" t="inlineStr">
        <is>
          <t>Course Name</t>
        </is>
      </c>
      <c r="B1" s="1" t="inlineStr">
        <is>
          <t>Degree Level</t>
        </is>
      </c>
      <c r="C1" s="1" t="inlineStr">
        <is>
          <t>Programme Page URL</t>
        </is>
      </c>
      <c r="D1" s="1" t="inlineStr">
        <is>
          <t>Duration</t>
        </is>
      </c>
      <c r="E1" s="1" t="inlineStr">
        <is>
          <t>Tuition Fee</t>
        </is>
      </c>
      <c r="F1" s="1" t="inlineStr">
        <is>
          <t>Medium of Instruction</t>
        </is>
      </c>
      <c r="G1" s="1" t="inlineStr">
        <is>
          <t>Needs Manual Check</t>
        </is>
      </c>
    </row>
    <row r="2" ht="18" customHeight="1">
      <c r="A2" s="2" t="inlineStr">
        <is>
          <t>Dubai</t>
        </is>
      </c>
      <c r="B2" s="2" t="inlineStr">
        <is>
          <t>Unknown</t>
        </is>
      </c>
      <c r="C2" s="3">
        <f>HYPERLINK("https://www.bits-pilani.ac.in/dubai/","https://www.bits-pilani.ac.in/dubai/")</f>
        <v/>
      </c>
      <c r="D2" s="2" t="inlineStr"/>
      <c r="E2" s="2" t="inlineStr"/>
      <c r="F2" s="2" t="inlineStr"/>
      <c r="G2" s="2" t="inlineStr">
        <is>
          <t>Yes</t>
        </is>
      </c>
    </row>
    <row r="3" ht="18" customHeight="1">
      <c r="A3" s="2" t="inlineStr">
        <is>
          <t>Hyderabad</t>
        </is>
      </c>
      <c r="B3" s="2" t="inlineStr">
        <is>
          <t>Unknown</t>
        </is>
      </c>
      <c r="C3" s="3">
        <f>HYPERLINK("https://www.bits-pilani.ac.in/hyderabad/","https://www.bits-pilani.ac.in/hyderabad/")</f>
        <v/>
      </c>
      <c r="D3" s="2" t="inlineStr"/>
      <c r="E3" s="2" t="inlineStr"/>
      <c r="F3" s="2" t="inlineStr"/>
      <c r="G3" s="2" t="inlineStr">
        <is>
          <t>Yes</t>
        </is>
      </c>
    </row>
    <row r="4" ht="18" customHeight="1">
      <c r="A4" s="2" t="inlineStr">
        <is>
          <t>Faculty</t>
        </is>
      </c>
      <c r="B4" s="2" t="inlineStr">
        <is>
          <t>Unknown</t>
        </is>
      </c>
      <c r="C4" s="3">
        <f>HYPERLINK("https://www.bits-pilani.ac.in/faculty/","https://www.bits-pilani.ac.in/faculty/")</f>
        <v/>
      </c>
      <c r="D4" s="2" t="inlineStr"/>
      <c r="E4" s="2" t="inlineStr"/>
      <c r="F4" s="2" t="inlineStr"/>
      <c r="G4" s="2" t="inlineStr">
        <is>
          <t>Yes</t>
        </is>
      </c>
    </row>
    <row r="5" ht="18" customHeight="1">
      <c r="A5" s="2" t="inlineStr">
        <is>
          <t>Practice School</t>
        </is>
      </c>
      <c r="B5" s="2" t="inlineStr">
        <is>
          <t>Unknown</t>
        </is>
      </c>
      <c r="C5" s="3">
        <f>HYPERLINK("https://www.bits-pilani.ac.in/practice-school/","https://www.bits-pilani.ac.in/practice-school/")</f>
        <v/>
      </c>
      <c r="D5" s="2" t="inlineStr"/>
      <c r="E5" s="2" t="inlineStr"/>
      <c r="F5" s="2" t="inlineStr"/>
      <c r="G5" s="2" t="inlineStr">
        <is>
          <t>Yes</t>
        </is>
      </c>
    </row>
    <row r="6" ht="18" customHeight="1">
      <c r="A6" s="2" t="inlineStr">
        <is>
          <t>Integrated First Degree</t>
        </is>
      </c>
      <c r="B6" s="2" t="inlineStr">
        <is>
          <t>Unknown</t>
        </is>
      </c>
      <c r="C6" s="3">
        <f>HYPERLINK("https://www.bits-pilani.ac.in/admissions/integrated-first-degree/","https://www.bits-pilani.ac.in/admissions/integrated-first-degree/")</f>
        <v/>
      </c>
      <c r="D6" s="2" t="inlineStr"/>
      <c r="E6" s="2" t="inlineStr"/>
      <c r="F6" s="2" t="inlineStr"/>
      <c r="G6" s="2" t="inlineStr">
        <is>
          <t>Yes</t>
        </is>
      </c>
    </row>
    <row r="7" ht="18" customHeight="1">
      <c r="A7" s="2" t="inlineStr">
        <is>
          <t>Higher Degree</t>
        </is>
      </c>
      <c r="B7" s="2" t="inlineStr">
        <is>
          <t>Unknown</t>
        </is>
      </c>
      <c r="C7" s="3">
        <f>HYPERLINK("https://www.bits-pilani.ac.in/admissions/higher-degree-hd-program/","https://www.bits-pilani.ac.in/admissions/higher-degree-hd-program/")</f>
        <v/>
      </c>
      <c r="D7" s="2" t="inlineStr"/>
      <c r="E7" s="2" t="inlineStr"/>
      <c r="F7" s="2" t="inlineStr"/>
      <c r="G7" s="2" t="inlineStr">
        <is>
          <t>Yes</t>
        </is>
      </c>
    </row>
    <row r="8" ht="18" customHeight="1">
      <c r="A8" s="2" t="inlineStr">
        <is>
          <t>Doctorol Programmes</t>
        </is>
      </c>
      <c r="B8" s="2" t="inlineStr">
        <is>
          <t>Unknown</t>
        </is>
      </c>
      <c r="C8" s="3">
        <f>HYPERLINK("https://www.bits-pilani.ac.in/admissions/doctoral-program-phd/","https://www.bits-pilani.ac.in/admissions/doctoral-program-phd/")</f>
        <v/>
      </c>
      <c r="D8" s="2" t="inlineStr"/>
      <c r="E8" s="2" t="inlineStr"/>
      <c r="F8" s="2" t="inlineStr"/>
      <c r="G8" s="2" t="inlineStr">
        <is>
          <t>Yes</t>
        </is>
      </c>
    </row>
    <row r="9" ht="18" customHeight="1">
      <c r="A9" s="2" t="inlineStr">
        <is>
          <t>Online Admissions</t>
        </is>
      </c>
      <c r="B9" s="2" t="inlineStr">
        <is>
          <t>Bachelor</t>
        </is>
      </c>
      <c r="C9" s="3">
        <f>HYPERLINK("https://www.bits-pilani.ac.in/admissions/online-programme/bachelor-of-science-in-computer-science/","https://www.bits-pilani.ac.in/admissions/online-programme/bachelor-of-science-in-computer-science/")</f>
        <v/>
      </c>
      <c r="D9" s="2" t="inlineStr"/>
      <c r="E9" s="2" t="inlineStr"/>
      <c r="F9" s="2" t="inlineStr"/>
      <c r="G9" s="2" t="inlineStr">
        <is>
          <t>Yes</t>
        </is>
      </c>
    </row>
    <row r="10" ht="18" customHeight="1">
      <c r="A10" s="2" t="inlineStr">
        <is>
          <t>Pilani</t>
        </is>
      </c>
      <c r="B10" s="2" t="inlineStr">
        <is>
          <t>Unknown</t>
        </is>
      </c>
      <c r="C10" s="3">
        <f>HYPERLINK("https://www.bits-pilani.ac.in/departments/?campus=pilani","https://www.bits-pilani.ac.in/departments/?campus=pilani")</f>
        <v/>
      </c>
      <c r="D10" s="2" t="inlineStr"/>
      <c r="E10" s="2" t="inlineStr"/>
      <c r="F10" s="2" t="inlineStr"/>
      <c r="G10" s="2" t="inlineStr">
        <is>
          <t>Yes</t>
        </is>
      </c>
    </row>
    <row r="11" ht="18" customHeight="1">
      <c r="A11" s="2" t="inlineStr">
        <is>
          <t>B.e.(chemical)</t>
        </is>
      </c>
      <c r="B11" s="2" t="inlineStr">
        <is>
          <t>Unknown</t>
        </is>
      </c>
      <c r="C11" s="3">
        <f>HYPERLINK("https://www.bits-pilani.ac.in/academics/integrated-first-degree/b-e-chemical/","https://www.bits-pilani.ac.in/academics/integrated-first-degree/b-e-chemical/")</f>
        <v/>
      </c>
      <c r="D11" s="2" t="inlineStr"/>
      <c r="E11" s="2" t="inlineStr"/>
      <c r="F11" s="2" t="inlineStr"/>
      <c r="G11" s="2" t="inlineStr">
        <is>
          <t>Yes</t>
        </is>
      </c>
    </row>
    <row r="12" ht="18" customHeight="1">
      <c r="A12" s="2" t="inlineStr">
        <is>
          <t>B.e.(civil)</t>
        </is>
      </c>
      <c r="B12" s="2" t="inlineStr">
        <is>
          <t>Unknown</t>
        </is>
      </c>
      <c r="C12" s="3">
        <f>HYPERLINK("https://www.bits-pilani.ac.in/academics/integrated-first-degree/b-e-civil/","https://www.bits-pilani.ac.in/academics/integrated-first-degree/b-e-civil/")</f>
        <v/>
      </c>
      <c r="D12" s="2" t="inlineStr"/>
      <c r="E12" s="2" t="inlineStr"/>
      <c r="F12" s="2" t="inlineStr"/>
      <c r="G12" s="2" t="inlineStr">
        <is>
          <t>Yes</t>
        </is>
      </c>
    </row>
    <row r="13" ht="18" customHeight="1">
      <c r="A13" s="2" t="inlineStr">
        <is>
          <t>B.e.(computer Science)</t>
        </is>
      </c>
      <c r="B13" s="2" t="inlineStr">
        <is>
          <t>Unknown</t>
        </is>
      </c>
      <c r="C13" s="3">
        <f>HYPERLINK("https://www.bits-pilani.ac.in/academics/integrated-first-degree/b-e-computer-science/","https://www.bits-pilani.ac.in/academics/integrated-first-degree/b-e-computer-science/")</f>
        <v/>
      </c>
      <c r="D13" s="2" t="inlineStr"/>
      <c r="E13" s="2" t="inlineStr"/>
      <c r="F13" s="2" t="inlineStr"/>
      <c r="G13" s="2" t="inlineStr">
        <is>
          <t>Yes</t>
        </is>
      </c>
    </row>
    <row r="14" ht="18" customHeight="1">
      <c r="A14" s="2" t="inlineStr">
        <is>
          <t>B.e.(electrical + Electronics)</t>
        </is>
      </c>
      <c r="B14" s="2" t="inlineStr">
        <is>
          <t>Unknown</t>
        </is>
      </c>
      <c r="C14" s="3">
        <f>HYPERLINK("https://www.bits-pilani.ac.in/academics/integrated-first-degree/b-e-electrical-electronics/","https://www.bits-pilani.ac.in/academics/integrated-first-degree/b-e-electrical-electronics/")</f>
        <v/>
      </c>
      <c r="D14" s="2" t="inlineStr"/>
      <c r="E14" s="2" t="inlineStr"/>
      <c r="F14" s="2" t="inlineStr"/>
      <c r="G14" s="2" t="inlineStr">
        <is>
          <t>Yes</t>
        </is>
      </c>
    </row>
    <row r="15" ht="18" customHeight="1">
      <c r="A15" s="2" t="inlineStr">
        <is>
          <t>B.e. (electronics + Computer )</t>
        </is>
      </c>
      <c r="B15" s="2" t="inlineStr">
        <is>
          <t>Unknown</t>
        </is>
      </c>
      <c r="C15" s="3">
        <f>HYPERLINK("https://www.bits-pilani.ac.in/academics/integrated-first-degree/b-e-electronics-and-computer-engineering/","https://www.bits-pilani.ac.in/academics/integrated-first-degree/b-e-electronics-and-computer-engineering/")</f>
        <v/>
      </c>
      <c r="D15" s="2" t="inlineStr"/>
      <c r="E15" s="2" t="inlineStr"/>
      <c r="F15" s="2" t="inlineStr"/>
      <c r="G15" s="2" t="inlineStr">
        <is>
          <t>Yes</t>
        </is>
      </c>
    </row>
    <row r="16" ht="18" customHeight="1">
      <c r="A16" s="2" t="inlineStr">
        <is>
          <t>B.e.(electronics + Communication)</t>
        </is>
      </c>
      <c r="B16" s="2" t="inlineStr">
        <is>
          <t>Unknown</t>
        </is>
      </c>
      <c r="C16" s="3">
        <f>HYPERLINK("https://www.bits-pilani.ac.in/academics/integrated-first-degree/b-e-electronics-communication/","https://www.bits-pilani.ac.in/academics/integrated-first-degree/b-e-electronics-communication/")</f>
        <v/>
      </c>
      <c r="D16" s="2" t="inlineStr"/>
      <c r="E16" s="2" t="inlineStr"/>
      <c r="F16" s="2" t="inlineStr"/>
      <c r="G16" s="2" t="inlineStr">
        <is>
          <t>Yes</t>
        </is>
      </c>
    </row>
    <row r="17" ht="18" customHeight="1">
      <c r="A17" s="2" t="inlineStr">
        <is>
          <t>B.e.(electronics + Instrumentation)</t>
        </is>
      </c>
      <c r="B17" s="2" t="inlineStr">
        <is>
          <t>Unknown</t>
        </is>
      </c>
      <c r="C17" s="3">
        <f>HYPERLINK("https://www.bits-pilani.ac.in/academics/integrated-first-degree/be-electronics-and-instrumentation/","https://www.bits-pilani.ac.in/academics/integrated-first-degree/be-electronics-and-instrumentation/")</f>
        <v/>
      </c>
      <c r="D17" s="2" t="inlineStr"/>
      <c r="E17" s="2" t="inlineStr"/>
      <c r="F17" s="2" t="inlineStr"/>
      <c r="G17" s="2" t="inlineStr">
        <is>
          <t>Yes</t>
        </is>
      </c>
    </row>
    <row r="18" ht="18" customHeight="1">
      <c r="A18" s="2" t="inlineStr">
        <is>
          <t>B.e.(manufacturing Engineering)</t>
        </is>
      </c>
      <c r="B18" s="2" t="inlineStr">
        <is>
          <t>Unknown</t>
        </is>
      </c>
      <c r="C18" s="3">
        <f>HYPERLINK("https://www.bits-pilani.ac.in/academics/integrated-first-degree/be-manufacturing-engineering/","https://www.bits-pilani.ac.in/academics/integrated-first-degree/be-manufacturing-engineering/")</f>
        <v/>
      </c>
      <c r="D18" s="2" t="inlineStr"/>
      <c r="E18" s="2" t="inlineStr"/>
      <c r="F18" s="2" t="inlineStr"/>
      <c r="G18" s="2" t="inlineStr">
        <is>
          <t>Yes</t>
        </is>
      </c>
    </row>
    <row r="19" ht="18" customHeight="1">
      <c r="A19" s="2" t="inlineStr">
        <is>
          <t>B.e.(mechanical)</t>
        </is>
      </c>
      <c r="B19" s="2" t="inlineStr">
        <is>
          <t>Unknown</t>
        </is>
      </c>
      <c r="C19" s="3">
        <f>HYPERLINK("https://www.bits-pilani.ac.in/academics/integrated-first-degree/b-e-mechanical/","https://www.bits-pilani.ac.in/academics/integrated-first-degree/b-e-mechanical/")</f>
        <v/>
      </c>
      <c r="D19" s="2" t="inlineStr"/>
      <c r="E19" s="2" t="inlineStr"/>
      <c r="F19" s="2" t="inlineStr"/>
      <c r="G19" s="2" t="inlineStr">
        <is>
          <t>Yes</t>
        </is>
      </c>
    </row>
    <row r="20" ht="18" customHeight="1">
      <c r="A20" s="4" t="inlineStr">
        <is>
          <t>B.pharm.(pharmacy)</t>
        </is>
      </c>
      <c r="B20" s="4" t="inlineStr">
        <is>
          <t>Bachelor</t>
        </is>
      </c>
      <c r="C20" s="5">
        <f>HYPERLINK("https://www.bits-pilani.ac.in/academics/integrated-first-degree/b-pharm-pharmacy/","https://www.bits-pilani.ac.in/academics/integrated-first-degree/b-pharm-pharmacy/")</f>
        <v/>
      </c>
      <c r="D20" s="4" t="inlineStr"/>
      <c r="E20" s="4" t="inlineStr"/>
      <c r="F20" s="4" t="inlineStr"/>
      <c r="G20" s="4" t="inlineStr">
        <is>
          <t>No</t>
        </is>
      </c>
    </row>
    <row r="21" ht="18" customHeight="1">
      <c r="A21" s="2" t="inlineStr">
        <is>
          <t>B.e. Environmental + Sustainability Engg.</t>
        </is>
      </c>
      <c r="B21" s="2" t="inlineStr">
        <is>
          <t>Unknown</t>
        </is>
      </c>
      <c r="C21" s="3">
        <f>HYPERLINK("https://www.bits-pilani.ac.in/academics/integrated-first-degree/b-e-environmental-and-sustainability-engg/","https://www.bits-pilani.ac.in/academics/integrated-first-degree/b-e-environmental-and-sustainability-engg/")</f>
        <v/>
      </c>
      <c r="D21" s="2" t="inlineStr"/>
      <c r="E21" s="2" t="inlineStr"/>
      <c r="F21" s="2" t="inlineStr"/>
      <c r="G21" s="2" t="inlineStr">
        <is>
          <t>Yes</t>
        </is>
      </c>
    </row>
    <row r="22" ht="18" customHeight="1">
      <c r="A22" s="2" t="inlineStr">
        <is>
          <t>M. Sc. (mathematics)</t>
        </is>
      </c>
      <c r="B22" s="2" t="inlineStr">
        <is>
          <t>Unknown</t>
        </is>
      </c>
      <c r="C22" s="3">
        <f>HYPERLINK("https://www.bits-pilani.ac.in/academics/integrated-first-degree/m-sc-mathematics/","https://www.bits-pilani.ac.in/academics/integrated-first-degree/m-sc-mathematics/")</f>
        <v/>
      </c>
      <c r="D22" s="2" t="inlineStr"/>
      <c r="E22" s="2" t="inlineStr"/>
      <c r="F22" s="2" t="inlineStr"/>
      <c r="G22" s="2" t="inlineStr">
        <is>
          <t>Yes</t>
        </is>
      </c>
    </row>
    <row r="23" ht="18" customHeight="1">
      <c r="A23" s="2" t="inlineStr">
        <is>
          <t>B. E. (mathematics + Computing)</t>
        </is>
      </c>
      <c r="B23" s="2" t="inlineStr">
        <is>
          <t>Unknown</t>
        </is>
      </c>
      <c r="C23" s="3">
        <f>HYPERLINK("https://www.bits-pilani.ac.in/academics/integrated-first-degree/b-e-mathematics-and-computing/","https://www.bits-pilani.ac.in/academics/integrated-first-degree/b-e-mathematics-and-computing/")</f>
        <v/>
      </c>
      <c r="D23" s="2" t="inlineStr"/>
      <c r="E23" s="2" t="inlineStr"/>
      <c r="F23" s="2" t="inlineStr"/>
      <c r="G23" s="2" t="inlineStr">
        <is>
          <t>Yes</t>
        </is>
      </c>
    </row>
    <row r="24" ht="18" customHeight="1">
      <c r="A24" s="2" t="inlineStr">
        <is>
          <t>M.e. Civil – Water Resource Engineering</t>
        </is>
      </c>
      <c r="B24" s="2" t="inlineStr">
        <is>
          <t>Unknown</t>
        </is>
      </c>
      <c r="C24" s="3">
        <f>HYPERLINK("https://www.bits-pilani.ac.in/academics/higher-degree/m-e-civil-water-resource-engineering/","https://www.bits-pilani.ac.in/academics/higher-degree/m-e-civil-water-resource-engineering/")</f>
        <v/>
      </c>
      <c r="D24" s="2" t="inlineStr"/>
      <c r="E24" s="2" t="inlineStr"/>
      <c r="F24" s="2" t="inlineStr"/>
      <c r="G24" s="2" t="inlineStr">
        <is>
          <t>Yes</t>
        </is>
      </c>
    </row>
    <row r="25" ht="18" customHeight="1">
      <c r="A25" s="2" t="inlineStr">
        <is>
          <t>M.e.(electrical With Specialization in Power Electronics + Drives)</t>
        </is>
      </c>
      <c r="B25" s="2" t="inlineStr">
        <is>
          <t>Unknown</t>
        </is>
      </c>
      <c r="C25" s="3">
        <f>HYPERLINK("https://www.bits-pilani.ac.in/academics/higher-degree/meelectrical-with-specialization-in-power-electronics-and-drives/","https://www.bits-pilani.ac.in/academics/higher-degree/meelectrical-with-specialization-in-power-electronics-and-drives/")</f>
        <v/>
      </c>
      <c r="D25" s="2" t="inlineStr"/>
      <c r="E25" s="2" t="inlineStr"/>
      <c r="F25" s="2" t="inlineStr"/>
      <c r="G25" s="2" t="inlineStr">
        <is>
          <t>Yes</t>
        </is>
      </c>
    </row>
    <row r="26" ht="18" customHeight="1">
      <c r="A26" s="2" t="inlineStr">
        <is>
          <t>M.e.(communication)</t>
        </is>
      </c>
      <c r="B26" s="2" t="inlineStr">
        <is>
          <t>Unknown</t>
        </is>
      </c>
      <c r="C26" s="3">
        <f>HYPERLINK("https://www.bits-pilani.ac.in/academics/higher-degree/m-e-program-communication-engineering/","https://www.bits-pilani.ac.in/academics/higher-degree/m-e-program-communication-engineering/")</f>
        <v/>
      </c>
      <c r="D26" s="2" t="inlineStr"/>
      <c r="E26" s="2" t="inlineStr"/>
      <c r="F26" s="2" t="inlineStr"/>
      <c r="G26" s="2" t="inlineStr">
        <is>
          <t>Yes</t>
        </is>
      </c>
    </row>
    <row r="27" ht="18" customHeight="1">
      <c r="A27" s="2" t="inlineStr">
        <is>
          <t>M.e. (mechanical With Specialization in Thermal Engineering)</t>
        </is>
      </c>
      <c r="B27" s="2" t="inlineStr">
        <is>
          <t>Unknown</t>
        </is>
      </c>
      <c r="C27" s="3">
        <f>HYPERLINK("https://www.bits-pilani.ac.in/academics/higher-degree/m-e-thermal-engineering/","https://www.bits-pilani.ac.in/academics/higher-degree/m-e-thermal-engineering/")</f>
        <v/>
      </c>
      <c r="D27" s="2" t="inlineStr"/>
      <c r="E27" s="2" t="inlineStr"/>
      <c r="F27" s="2" t="inlineStr"/>
      <c r="G27" s="2" t="inlineStr">
        <is>
          <t>Yes</t>
        </is>
      </c>
    </row>
    <row r="28" ht="18" customHeight="1">
      <c r="A28" s="2" t="inlineStr">
        <is>
          <t>M.e. Electronics &amp; Control</t>
        </is>
      </c>
      <c r="B28" s="2" t="inlineStr">
        <is>
          <t>Unknown</t>
        </is>
      </c>
      <c r="C28" s="3">
        <f>HYPERLINK("https://www.bits-pilani.ac.in/academics/higher-degree/m-e-electronics-control/","https://www.bits-pilani.ac.in/academics/higher-degree/m-e-electronics-control/")</f>
        <v/>
      </c>
      <c r="D28" s="2" t="inlineStr"/>
      <c r="E28" s="2" t="inlineStr"/>
      <c r="F28" s="2" t="inlineStr"/>
      <c r="G28" s="2" t="inlineStr">
        <is>
          <t>Yes</t>
        </is>
      </c>
    </row>
    <row r="29" ht="18" customHeight="1">
      <c r="A29" s="2" t="inlineStr">
        <is>
          <t>M.e. M.pharm</t>
        </is>
      </c>
      <c r="B29" s="2" t="inlineStr">
        <is>
          <t>Unknown</t>
        </is>
      </c>
      <c r="C29" s="3">
        <f>HYPERLINK("https://www.bits-pilani.ac.in/academics/higher-degree/m-e-m-pharm/","https://www.bits-pilani.ac.in/academics/higher-degree/m-e-m-pharm/")</f>
        <v/>
      </c>
      <c r="D29" s="2" t="inlineStr"/>
      <c r="E29" s="2" t="inlineStr"/>
      <c r="F29" s="2" t="inlineStr"/>
      <c r="G29" s="2" t="inlineStr">
        <is>
          <t>Yes</t>
        </is>
      </c>
    </row>
    <row r="30" ht="18" customHeight="1">
      <c r="A30" s="2" t="inlineStr">
        <is>
          <t>M.e.(biotechnology)</t>
        </is>
      </c>
      <c r="B30" s="2" t="inlineStr">
        <is>
          <t>Unknown</t>
        </is>
      </c>
      <c r="C30" s="3">
        <f>HYPERLINK("https://www.bits-pilani.ac.in/academics/higher-degree/m-e-biotechnology/","https://www.bits-pilani.ac.in/academics/higher-degree/m-e-biotechnology/")</f>
        <v/>
      </c>
      <c r="D30" s="2" t="inlineStr"/>
      <c r="E30" s="2" t="inlineStr"/>
      <c r="F30" s="2" t="inlineStr"/>
      <c r="G30" s="2" t="inlineStr">
        <is>
          <t>Yes</t>
        </is>
      </c>
    </row>
    <row r="31" ht="18" customHeight="1">
      <c r="A31" s="2" t="inlineStr">
        <is>
          <t>M.e.(chemical)</t>
        </is>
      </c>
      <c r="B31" s="2" t="inlineStr">
        <is>
          <t>Unknown</t>
        </is>
      </c>
      <c r="C31" s="3">
        <f>HYPERLINK("https://www.bits-pilani.ac.in/academics/higher-degree/me-chemical/","https://www.bits-pilani.ac.in/academics/higher-degree/me-chemical/")</f>
        <v/>
      </c>
      <c r="D31" s="2" t="inlineStr"/>
      <c r="E31" s="2" t="inlineStr"/>
      <c r="F31" s="2" t="inlineStr"/>
      <c r="G31" s="2" t="inlineStr">
        <is>
          <t>Yes</t>
        </is>
      </c>
    </row>
    <row r="32" ht="18" customHeight="1">
      <c r="A32" s="2" t="inlineStr">
        <is>
          <t>M.e.(civil With Specialization in Infrastructure Engineering + Management)</t>
        </is>
      </c>
      <c r="B32" s="2" t="inlineStr">
        <is>
          <t>Unknown</t>
        </is>
      </c>
      <c r="C32" s="3">
        <f>HYPERLINK("https://www.bits-pilani.ac.in/academics/higher-degree/m-e-civil-infrastructure-engineering-and-management/","https://www.bits-pilani.ac.in/academics/higher-degree/m-e-civil-infrastructure-engineering-and-management/")</f>
        <v/>
      </c>
      <c r="D32" s="2" t="inlineStr"/>
      <c r="E32" s="2" t="inlineStr"/>
      <c r="F32" s="2" t="inlineStr"/>
      <c r="G32" s="2" t="inlineStr">
        <is>
          <t>Yes</t>
        </is>
      </c>
    </row>
    <row r="33" ht="18" customHeight="1">
      <c r="A33" s="2" t="inlineStr">
        <is>
          <t>M.e.(civil With Specialization in Structural Engineering)</t>
        </is>
      </c>
      <c r="B33" s="2" t="inlineStr">
        <is>
          <t>Unknown</t>
        </is>
      </c>
      <c r="C33" s="3">
        <f>HYPERLINK("https://www.bits-pilani.ac.in/academics/higher-degree/m-e-civil-structural-engineering/","https://www.bits-pilani.ac.in/academics/higher-degree/m-e-civil-structural-engineering/")</f>
        <v/>
      </c>
      <c r="D33" s="2" t="inlineStr"/>
      <c r="E33" s="2" t="inlineStr"/>
      <c r="F33" s="2" t="inlineStr"/>
      <c r="G33" s="2" t="inlineStr">
        <is>
          <t>Yes</t>
        </is>
      </c>
    </row>
    <row r="34" ht="18" customHeight="1">
      <c r="A34" s="2" t="inlineStr">
        <is>
          <t>M.e.(civil With Specialization in Transportation Engineering)</t>
        </is>
      </c>
      <c r="B34" s="2" t="inlineStr">
        <is>
          <t>Unknown</t>
        </is>
      </c>
      <c r="C34" s="3">
        <f>HYPERLINK("https://www.bits-pilani.ac.in/academics/higher-degree/m-e-civil-transportation-engineering/","https://www.bits-pilani.ac.in/academics/higher-degree/m-e-civil-transportation-engineering/")</f>
        <v/>
      </c>
      <c r="D34" s="2" t="inlineStr"/>
      <c r="E34" s="2" t="inlineStr"/>
      <c r="F34" s="2" t="inlineStr"/>
      <c r="G34" s="2" t="inlineStr">
        <is>
          <t>Yes</t>
        </is>
      </c>
    </row>
    <row r="35" ht="18" customHeight="1">
      <c r="A35" s="2" t="inlineStr">
        <is>
          <t>M.e.(computer Science)</t>
        </is>
      </c>
      <c r="B35" s="2" t="inlineStr">
        <is>
          <t>Unknown</t>
        </is>
      </c>
      <c r="C35" s="3">
        <f>HYPERLINK("https://www.bits-pilani.ac.in/academics/higher-degree/m-e-computer-science/","https://www.bits-pilani.ac.in/academics/higher-degree/m-e-computer-science/")</f>
        <v/>
      </c>
      <c r="D35" s="2" t="inlineStr"/>
      <c r="E35" s="2" t="inlineStr"/>
      <c r="F35" s="2" t="inlineStr"/>
      <c r="G35" s="2" t="inlineStr">
        <is>
          <t>Yes</t>
        </is>
      </c>
    </row>
    <row r="36" ht="18" customHeight="1">
      <c r="A36" s="2" t="inlineStr">
        <is>
          <t>M.e.(design Engineering)</t>
        </is>
      </c>
      <c r="B36" s="2" t="inlineStr">
        <is>
          <t>Unknown</t>
        </is>
      </c>
      <c r="C36" s="3">
        <f>HYPERLINK("https://www.bits-pilani.ac.in/academics/higher-degree/m-e-design-engineering/","https://www.bits-pilani.ac.in/academics/higher-degree/m-e-design-engineering/")</f>
        <v/>
      </c>
      <c r="D36" s="2" t="inlineStr"/>
      <c r="E36" s="2" t="inlineStr"/>
      <c r="F36" s="2" t="inlineStr"/>
      <c r="G36" s="2" t="inlineStr">
        <is>
          <t>Yes</t>
        </is>
      </c>
    </row>
    <row r="37" ht="18" customHeight="1">
      <c r="A37" s="2" t="inlineStr">
        <is>
          <t>M.e.(embedded Systems)</t>
        </is>
      </c>
      <c r="B37" s="2" t="inlineStr">
        <is>
          <t>Unknown</t>
        </is>
      </c>
      <c r="C37" s="3">
        <f>HYPERLINK("https://www.bits-pilani.ac.in/academics/higher-degree/m-e-embedded-systems/","https://www.bits-pilani.ac.in/academics/higher-degree/m-e-embedded-systems/")</f>
        <v/>
      </c>
      <c r="D37" s="2" t="inlineStr"/>
      <c r="E37" s="2" t="inlineStr"/>
      <c r="F37" s="2" t="inlineStr"/>
      <c r="G37" s="2" t="inlineStr">
        <is>
          <t>Yes</t>
        </is>
      </c>
    </row>
    <row r="38" ht="18" customHeight="1">
      <c r="A38" s="2" t="inlineStr">
        <is>
          <t>M.e.(manufacturing Systems Engineering)</t>
        </is>
      </c>
      <c r="B38" s="2" t="inlineStr">
        <is>
          <t>Unknown</t>
        </is>
      </c>
      <c r="C38" s="3">
        <f>HYPERLINK("https://www.bits-pilani.ac.in/academics/higher-degree/m-e-manufacturing-systems-engineering/","https://www.bits-pilani.ac.in/academics/higher-degree/m-e-manufacturing-systems-engineering/")</f>
        <v/>
      </c>
      <c r="D38" s="2" t="inlineStr"/>
      <c r="E38" s="2" t="inlineStr"/>
      <c r="F38" s="2" t="inlineStr"/>
      <c r="G38" s="2" t="inlineStr">
        <is>
          <t>Yes</t>
        </is>
      </c>
    </row>
    <row r="39" ht="18" customHeight="1">
      <c r="A39" s="2" t="inlineStr">
        <is>
          <t>M.e.(mechanical)</t>
        </is>
      </c>
      <c r="B39" s="2" t="inlineStr">
        <is>
          <t>Unknown</t>
        </is>
      </c>
      <c r="C39" s="3">
        <f>HYPERLINK("https://www.bits-pilani.ac.in/academics/higher-degree/m-e-mechanical/","https://www.bits-pilani.ac.in/academics/higher-degree/m-e-mechanical/")</f>
        <v/>
      </c>
      <c r="D39" s="2" t="inlineStr"/>
      <c r="E39" s="2" t="inlineStr"/>
      <c r="F39" s="2" t="inlineStr"/>
      <c r="G39" s="2" t="inlineStr">
        <is>
          <t>Yes</t>
        </is>
      </c>
    </row>
    <row r="40" ht="18" customHeight="1">
      <c r="A40" s="2" t="inlineStr">
        <is>
          <t>M.e(vlsi &amp; Microelectronics)</t>
        </is>
      </c>
      <c r="B40" s="2" t="inlineStr">
        <is>
          <t>Unknown</t>
        </is>
      </c>
      <c r="C40" s="3">
        <f>HYPERLINK("https://www.bits-pilani.ac.in/academics/higher-degree/m-e-microelectronics/","https://www.bits-pilani.ac.in/academics/higher-degree/m-e-microelectronics/")</f>
        <v/>
      </c>
      <c r="D40" s="2" t="inlineStr"/>
      <c r="E40" s="2" t="inlineStr"/>
      <c r="F40" s="2" t="inlineStr"/>
      <c r="G40" s="2" t="inlineStr">
        <is>
          <t>Yes</t>
        </is>
      </c>
    </row>
    <row r="41" ht="18" customHeight="1">
      <c r="A41" s="2" t="inlineStr">
        <is>
          <t>M.e. Environmental Engineering</t>
        </is>
      </c>
      <c r="B41" s="2" t="inlineStr">
        <is>
          <t>Unknown</t>
        </is>
      </c>
      <c r="C41" s="3">
        <f>HYPERLINK("https://www.bits-pilani.ac.in/academics/higher-degree/m-e-environmental-engineering/","https://www.bits-pilani.ac.in/academics/higher-degree/m-e-environmental-engineering/")</f>
        <v/>
      </c>
      <c r="D41" s="2" t="inlineStr"/>
      <c r="E41" s="2" t="inlineStr"/>
      <c r="F41" s="2" t="inlineStr"/>
      <c r="G41" s="2" t="inlineStr">
        <is>
          <t>Yes</t>
        </is>
      </c>
    </row>
    <row r="42" ht="18" customHeight="1">
      <c r="A42" s="2" t="inlineStr">
        <is>
          <t>M.e.(sanitation Science, Technology + Management)</t>
        </is>
      </c>
      <c r="B42" s="2" t="inlineStr">
        <is>
          <t>Unknown</t>
        </is>
      </c>
      <c r="C42" s="3">
        <f>HYPERLINK("https://www.bits-pilani.ac.in/academics/higher-degree/m-e-sanitation-science-technology-and-management/","https://www.bits-pilani.ac.in/academics/higher-degree/m-e-sanitation-science-technology-and-management/")</f>
        <v/>
      </c>
      <c r="D42" s="2" t="inlineStr"/>
      <c r="E42" s="2" t="inlineStr"/>
      <c r="F42" s="2" t="inlineStr"/>
      <c r="G42" s="2" t="inlineStr">
        <is>
          <t>Yes</t>
        </is>
      </c>
    </row>
    <row r="43" ht="18" customHeight="1">
      <c r="A43" s="2" t="inlineStr">
        <is>
          <t>M.e.(software Systems)</t>
        </is>
      </c>
      <c r="B43" s="2" t="inlineStr">
        <is>
          <t>Unknown</t>
        </is>
      </c>
      <c r="C43" s="3">
        <f>HYPERLINK("https://www.bits-pilani.ac.in/academics/higher-degree/m-e-software-system/","https://www.bits-pilani.ac.in/academics/higher-degree/m-e-software-system/")</f>
        <v/>
      </c>
      <c r="D43" s="2" t="inlineStr"/>
      <c r="E43" s="2" t="inlineStr"/>
      <c r="F43" s="2" t="inlineStr"/>
      <c r="G43" s="2" t="inlineStr">
        <is>
          <t>Yes</t>
        </is>
      </c>
    </row>
    <row r="44" ht="18" customHeight="1">
      <c r="A44" s="2" t="inlineStr">
        <is>
          <t>M.pharm.(pharmaceutical Chemistry)</t>
        </is>
      </c>
      <c r="B44" s="2" t="inlineStr">
        <is>
          <t>Unknown</t>
        </is>
      </c>
      <c r="C44" s="3">
        <f>HYPERLINK("https://www.bits-pilani.ac.in/academics/higher-degree/m-pharm-pharmaceutical-chemistry/","https://www.bits-pilani.ac.in/academics/higher-degree/m-pharm-pharmaceutical-chemistry/")</f>
        <v/>
      </c>
      <c r="D44" s="2" t="inlineStr"/>
      <c r="E44" s="2" t="inlineStr"/>
      <c r="F44" s="2" t="inlineStr"/>
      <c r="G44" s="2" t="inlineStr">
        <is>
          <t>Yes</t>
        </is>
      </c>
    </row>
    <row r="45" ht="18" customHeight="1">
      <c r="A45" s="2" t="inlineStr">
        <is>
          <t>M.pharm.(pharmaceutics)</t>
        </is>
      </c>
      <c r="B45" s="2" t="inlineStr">
        <is>
          <t>Unknown</t>
        </is>
      </c>
      <c r="C45" s="3">
        <f>HYPERLINK("https://www.bits-pilani.ac.in/academics/higher-degree/m-pharm-pharmaceutics/","https://www.bits-pilani.ac.in/academics/higher-degree/m-pharm-pharmaceutics/")</f>
        <v/>
      </c>
      <c r="D45" s="2" t="inlineStr"/>
      <c r="E45" s="2" t="inlineStr"/>
      <c r="F45" s="2" t="inlineStr"/>
      <c r="G45" s="2" t="inlineStr">
        <is>
          <t>Yes</t>
        </is>
      </c>
    </row>
    <row r="46" ht="18" customHeight="1">
      <c r="A46" s="2" t="inlineStr">
        <is>
          <t>M.pharm.(pharmacology)</t>
        </is>
      </c>
      <c r="B46" s="2" t="inlineStr">
        <is>
          <t>Unknown</t>
        </is>
      </c>
      <c r="C46" s="3">
        <f>HYPERLINK("https://www.bits-pilani.ac.in/academics/higher-degree/m-pharm-pharmacology/","https://www.bits-pilani.ac.in/academics/higher-degree/m-pharm-pharmacology/")</f>
        <v/>
      </c>
      <c r="D46" s="2" t="inlineStr"/>
      <c r="E46" s="2" t="inlineStr"/>
      <c r="F46" s="2" t="inlineStr"/>
      <c r="G46" s="2" t="inlineStr">
        <is>
          <t>Yes</t>
        </is>
      </c>
    </row>
    <row r="47" ht="18" customHeight="1">
      <c r="A47" s="2" t="inlineStr">
        <is>
          <t>M.pharm.(pharmacy)</t>
        </is>
      </c>
      <c r="B47" s="2" t="inlineStr">
        <is>
          <t>Unknown</t>
        </is>
      </c>
      <c r="C47" s="3">
        <f>HYPERLINK("https://www.bits-pilani.ac.in/academics/higher-degree/m-pharma-pharmacy/","https://www.bits-pilani.ac.in/academics/higher-degree/m-pharma-pharmacy/")</f>
        <v/>
      </c>
      <c r="D47" s="2" t="inlineStr"/>
      <c r="E47" s="2" t="inlineStr"/>
      <c r="F47" s="2" t="inlineStr"/>
      <c r="G47" s="2" t="inlineStr">
        <is>
          <t>Yes</t>
        </is>
      </c>
    </row>
    <row r="48" ht="18" customHeight="1">
      <c r="A48" s="2" t="inlineStr">
        <is>
          <t>Biological Sciences</t>
        </is>
      </c>
      <c r="B48" s="2" t="inlineStr">
        <is>
          <t>Unknown</t>
        </is>
      </c>
      <c r="C48" s="3">
        <f>HYPERLINK("https://www.bits-pilani.ac.in/academics/doctoral-programmes/phd-biological-sciences/","https://www.bits-pilani.ac.in/academics/doctoral-programmes/phd-biological-sciences/")</f>
        <v/>
      </c>
      <c r="D48" s="2" t="inlineStr"/>
      <c r="E48" s="2" t="inlineStr"/>
      <c r="F48" s="2" t="inlineStr"/>
      <c r="G48" s="2" t="inlineStr">
        <is>
          <t>Yes</t>
        </is>
      </c>
    </row>
    <row r="49" ht="18" customHeight="1">
      <c r="A49" s="2" t="inlineStr">
        <is>
          <t>Chemical Engineering</t>
        </is>
      </c>
      <c r="B49" s="2" t="inlineStr">
        <is>
          <t>Unknown</t>
        </is>
      </c>
      <c r="C49" s="3">
        <f>HYPERLINK("https://www.bits-pilani.ac.in/academics/doctoral-programmes/phd-chemical-engineering/","https://www.bits-pilani.ac.in/academics/doctoral-programmes/phd-chemical-engineering/")</f>
        <v/>
      </c>
      <c r="D49" s="2" t="inlineStr"/>
      <c r="E49" s="2" t="inlineStr"/>
      <c r="F49" s="2" t="inlineStr"/>
      <c r="G49" s="2" t="inlineStr">
        <is>
          <t>Yes</t>
        </is>
      </c>
    </row>
    <row r="50" ht="18" customHeight="1">
      <c r="A50" s="2" t="inlineStr">
        <is>
          <t>Chemistry</t>
        </is>
      </c>
      <c r="B50" s="2" t="inlineStr">
        <is>
          <t>Unknown</t>
        </is>
      </c>
      <c r="C50" s="3">
        <f>HYPERLINK("https://www.bits-pilani.ac.in/academics/doctoral-programmes/phd-chemistry/","https://www.bits-pilani.ac.in/academics/doctoral-programmes/phd-chemistry/")</f>
        <v/>
      </c>
      <c r="D50" s="2" t="inlineStr"/>
      <c r="E50" s="2" t="inlineStr"/>
      <c r="F50" s="2" t="inlineStr"/>
      <c r="G50" s="2" t="inlineStr">
        <is>
          <t>Yes</t>
        </is>
      </c>
    </row>
    <row r="51" ht="18" customHeight="1">
      <c r="A51" s="2" t="inlineStr">
        <is>
          <t>Civil Engineering</t>
        </is>
      </c>
      <c r="B51" s="2" t="inlineStr">
        <is>
          <t>Unknown</t>
        </is>
      </c>
      <c r="C51" s="3">
        <f>HYPERLINK("https://www.bits-pilani.ac.in/academics/doctoral-programmes/phd-civil-engineering/","https://www.bits-pilani.ac.in/academics/doctoral-programmes/phd-civil-engineering/")</f>
        <v/>
      </c>
      <c r="D51" s="2" t="inlineStr"/>
      <c r="E51" s="2" t="inlineStr"/>
      <c r="F51" s="2" t="inlineStr"/>
      <c r="G51" s="2" t="inlineStr">
        <is>
          <t>Yes</t>
        </is>
      </c>
    </row>
    <row r="52" ht="18" customHeight="1">
      <c r="A52" s="2" t="inlineStr">
        <is>
          <t>Computer Science &amp; Information Systems</t>
        </is>
      </c>
      <c r="B52" s="2" t="inlineStr">
        <is>
          <t>Unknown</t>
        </is>
      </c>
      <c r="C52" s="3">
        <f>HYPERLINK("https://www.bits-pilani.ac.in/academics/doctoral-programmes/phd-computer-science-information-systems/","https://www.bits-pilani.ac.in/academics/doctoral-programmes/phd-computer-science-information-systems/")</f>
        <v/>
      </c>
      <c r="D52" s="2" t="inlineStr"/>
      <c r="E52" s="2" t="inlineStr"/>
      <c r="F52" s="2" t="inlineStr"/>
      <c r="G52" s="2" t="inlineStr">
        <is>
          <t>Yes</t>
        </is>
      </c>
    </row>
    <row r="53" ht="18" customHeight="1">
      <c r="A53" s="2" t="inlineStr">
        <is>
          <t>Economics &amp; Finance</t>
        </is>
      </c>
      <c r="B53" s="2" t="inlineStr">
        <is>
          <t>Unknown</t>
        </is>
      </c>
      <c r="C53" s="3">
        <f>HYPERLINK("https://www.bits-pilani.ac.in/academics/doctoral-programmes/phd-economics-finance/","https://www.bits-pilani.ac.in/academics/doctoral-programmes/phd-economics-finance/")</f>
        <v/>
      </c>
      <c r="D53" s="2" t="inlineStr"/>
      <c r="E53" s="2" t="inlineStr"/>
      <c r="F53" s="2" t="inlineStr"/>
      <c r="G53" s="2" t="inlineStr">
        <is>
          <t>Yes</t>
        </is>
      </c>
    </row>
    <row r="54" ht="18" customHeight="1">
      <c r="A54" s="2" t="inlineStr">
        <is>
          <t>Electrical &amp; Electronics Engineering</t>
        </is>
      </c>
      <c r="B54" s="2" t="inlineStr">
        <is>
          <t>Unknown</t>
        </is>
      </c>
      <c r="C54" s="3">
        <f>HYPERLINK("https://www.bits-pilani.ac.in/academics/doctoral-programmes/phd-electrical-electronics-engineering/","https://www.bits-pilani.ac.in/academics/doctoral-programmes/phd-electrical-electronics-engineering/")</f>
        <v/>
      </c>
      <c r="D54" s="2" t="inlineStr"/>
      <c r="E54" s="2" t="inlineStr"/>
      <c r="F54" s="2" t="inlineStr"/>
      <c r="G54" s="2" t="inlineStr">
        <is>
          <t>Yes</t>
        </is>
      </c>
    </row>
    <row r="55" ht="18" customHeight="1">
      <c r="A55" s="2" t="inlineStr">
        <is>
          <t>Humanities &amp; Social Sciences</t>
        </is>
      </c>
      <c r="B55" s="2" t="inlineStr">
        <is>
          <t>Unknown</t>
        </is>
      </c>
      <c r="C55" s="3">
        <f>HYPERLINK("https://www.bits-pilani.ac.in/academics/doctoral-programmes/phd-humanities-social-sciences/","https://www.bits-pilani.ac.in/academics/doctoral-programmes/phd-humanities-social-sciences/")</f>
        <v/>
      </c>
      <c r="D55" s="2" t="inlineStr"/>
      <c r="E55" s="2" t="inlineStr"/>
      <c r="F55" s="2" t="inlineStr"/>
      <c r="G55" s="2" t="inlineStr">
        <is>
          <t>Yes</t>
        </is>
      </c>
    </row>
    <row r="56" ht="18" customHeight="1">
      <c r="A56" s="2" t="inlineStr">
        <is>
          <t>Management</t>
        </is>
      </c>
      <c r="B56" s="2" t="inlineStr">
        <is>
          <t>Unknown</t>
        </is>
      </c>
      <c r="C56" s="3">
        <f>HYPERLINK("https://www.bits-pilani.ac.in/academics/doctoral-programmes/phd-management/","https://www.bits-pilani.ac.in/academics/doctoral-programmes/phd-management/")</f>
        <v/>
      </c>
      <c r="D56" s="2" t="inlineStr"/>
      <c r="E56" s="2" t="inlineStr"/>
      <c r="F56" s="2" t="inlineStr"/>
      <c r="G56" s="2" t="inlineStr">
        <is>
          <t>Yes</t>
        </is>
      </c>
    </row>
    <row r="57" ht="18" customHeight="1">
      <c r="A57" s="2" t="inlineStr">
        <is>
          <t>Mathematics</t>
        </is>
      </c>
      <c r="B57" s="2" t="inlineStr">
        <is>
          <t>Unknown</t>
        </is>
      </c>
      <c r="C57" s="3">
        <f>HYPERLINK("https://www.bits-pilani.ac.in/academics/doctoral-programmes/phd-mathematics/","https://www.bits-pilani.ac.in/academics/doctoral-programmes/phd-mathematics/")</f>
        <v/>
      </c>
      <c r="D57" s="2" t="inlineStr"/>
      <c r="E57" s="2" t="inlineStr"/>
      <c r="F57" s="2" t="inlineStr"/>
      <c r="G57" s="2" t="inlineStr">
        <is>
          <t>Yes</t>
        </is>
      </c>
    </row>
    <row r="58" ht="18" customHeight="1">
      <c r="A58" s="2" t="inlineStr">
        <is>
          <t>Mechanical Engineering</t>
        </is>
      </c>
      <c r="B58" s="2" t="inlineStr">
        <is>
          <t>Unknown</t>
        </is>
      </c>
      <c r="C58" s="3">
        <f>HYPERLINK("https://www.bits-pilani.ac.in/academics/doctoral-programmes/phd-mechanical-engineering/","https://www.bits-pilani.ac.in/academics/doctoral-programmes/phd-mechanical-engineering/")</f>
        <v/>
      </c>
      <c r="D58" s="2" t="inlineStr"/>
      <c r="E58" s="2" t="inlineStr"/>
      <c r="F58" s="2" t="inlineStr"/>
      <c r="G58" s="2" t="inlineStr">
        <is>
          <t>Yes</t>
        </is>
      </c>
    </row>
    <row r="59" ht="18" customHeight="1">
      <c r="A59" s="2" t="inlineStr">
        <is>
          <t>Pharmacy</t>
        </is>
      </c>
      <c r="B59" s="2" t="inlineStr">
        <is>
          <t>Unknown</t>
        </is>
      </c>
      <c r="C59" s="3">
        <f>HYPERLINK("https://www.bits-pilani.ac.in/academics/doctoral-programmes/phd-pharmacy/","https://www.bits-pilani.ac.in/academics/doctoral-programmes/phd-pharmacy/")</f>
        <v/>
      </c>
      <c r="D59" s="2" t="inlineStr"/>
      <c r="E59" s="2" t="inlineStr"/>
      <c r="F59" s="2" t="inlineStr"/>
      <c r="G59" s="2" t="inlineStr">
        <is>
          <t>Yes</t>
        </is>
      </c>
    </row>
    <row r="60" ht="18" customHeight="1">
      <c r="A60" s="2" t="inlineStr">
        <is>
          <t>Physics</t>
        </is>
      </c>
      <c r="B60" s="2" t="inlineStr">
        <is>
          <t>Unknown</t>
        </is>
      </c>
      <c r="C60" s="3">
        <f>HYPERLINK("https://www.bits-pilani.ac.in/academics/doctoral-programmes/phd-physics/","https://www.bits-pilani.ac.in/academics/doctoral-programmes/phd-physics/")</f>
        <v/>
      </c>
      <c r="D60" s="2" t="inlineStr"/>
      <c r="E60" s="2" t="inlineStr"/>
      <c r="F60" s="2" t="inlineStr"/>
      <c r="G60" s="2" t="inlineStr">
        <is>
          <t>Yes</t>
        </is>
      </c>
    </row>
    <row r="61" ht="18" customHeight="1">
      <c r="A61" s="2" t="inlineStr">
        <is>
          <t>Mumbai</t>
        </is>
      </c>
      <c r="B61" s="2" t="inlineStr">
        <is>
          <t>Unknown</t>
        </is>
      </c>
      <c r="C61" s="3">
        <f>HYPERLINK("https://www.bits-pilani.ac.in/mumbai/","https://www.bits-pilani.ac.in/mumbai/")</f>
        <v/>
      </c>
      <c r="D61" s="2" t="inlineStr"/>
      <c r="E61" s="2" t="inlineStr"/>
      <c r="F61" s="2" t="inlineStr"/>
      <c r="G61" s="2" t="inlineStr">
        <is>
          <t>Yes</t>
        </is>
      </c>
    </row>
    <row r="62" ht="18" customHeight="1">
      <c r="A62" s="2" t="inlineStr">
        <is>
          <t>Bits Pilani Hyderabad: Revolutionising Education for Industry + Entrepreneurs 19 July, 2024 | Bits Pilani Hyderabad: Revolutionising Education for Industry + Entrepreneurs</t>
        </is>
      </c>
      <c r="B62" s="2" t="inlineStr">
        <is>
          <t>Unknown</t>
        </is>
      </c>
      <c r="C62" s="3">
        <f>HYPERLINK("https://www.bits-pilani.ac.in/news/bits-pilani-hyderabad-revolutionising-education-for-industry-and-entrepreneurs/","https://www.bits-pilani.ac.in/news/bits-pilani-hyderabad-revolutionising-education-for-industry-and-entrepreneurs/")</f>
        <v/>
      </c>
      <c r="D62" s="2" t="inlineStr"/>
      <c r="E62" s="2" t="inlineStr"/>
      <c r="F62" s="2" t="inlineStr"/>
      <c r="G62" s="2" t="inlineStr">
        <is>
          <t>Yes</t>
        </is>
      </c>
    </row>
    <row r="63" ht="18" customHeight="1">
      <c r="A63" s="2" t="inlineStr">
        <is>
          <t>Know Courses Offered</t>
        </is>
      </c>
      <c r="B63" s="2" t="inlineStr">
        <is>
          <t>Unknown</t>
        </is>
      </c>
      <c r="C63" s="3">
        <f>HYPERLINK("https://www.bits-pilani.ac.in/integrated-first-degree/","https://www.bits-pilani.ac.in/integrated-first-degree/")</f>
        <v/>
      </c>
      <c r="D63" s="2" t="inlineStr"/>
      <c r="E63" s="2" t="inlineStr"/>
      <c r="F63" s="2" t="inlineStr"/>
      <c r="G63" s="2" t="inlineStr">
        <is>
          <t>Yes</t>
        </is>
      </c>
    </row>
    <row r="64" ht="18" customHeight="1">
      <c r="A64" s="2" t="inlineStr">
        <is>
          <t>Know About Faculty</t>
        </is>
      </c>
      <c r="B64" s="2" t="inlineStr">
        <is>
          <t>Unknown</t>
        </is>
      </c>
      <c r="C64" s="3">
        <f>HYPERLINK("https://www.bits-pilani.ac.in/faculty/","https://www.bits-pilani.ac.in/faculty/")</f>
        <v/>
      </c>
      <c r="D64" s="2" t="inlineStr"/>
      <c r="E64" s="2" t="inlineStr"/>
      <c r="F64" s="2" t="inlineStr"/>
      <c r="G64" s="2" t="inlineStr">
        <is>
          <t>Yes</t>
        </is>
      </c>
    </row>
    <row r="65" ht="18" customHeight="1">
      <c r="A65" s="2" t="inlineStr">
        <is>
          <t>Practiceschool Practice School Program Provides Students an Opportunity to Practice What They Have Learnt, in Global Organizations Under the Supervision of a Mentor.</t>
        </is>
      </c>
      <c r="B65" s="2" t="inlineStr">
        <is>
          <t>Unknown</t>
        </is>
      </c>
      <c r="C65" s="3">
        <f>HYPERLINK("https://www.bits-pilani.ac.in/practice-school/","https://www.bits-pilani.ac.in/practice-school/")</f>
        <v/>
      </c>
      <c r="D65" s="2" t="inlineStr"/>
      <c r="E65" s="2" t="inlineStr"/>
      <c r="F65" s="2" t="inlineStr"/>
      <c r="G65" s="2" t="inlineStr">
        <is>
          <t>Yes</t>
        </is>
      </c>
    </row>
    <row r="66" ht="18" customHeight="1">
      <c r="A66" s="2" t="inlineStr">
        <is>
          <t>Academics</t>
        </is>
      </c>
      <c r="B66" s="2" t="inlineStr">
        <is>
          <t>Unknown</t>
        </is>
      </c>
      <c r="C66" s="3">
        <f>HYPERLINK("https://www.bits-pilani.ac.in/academics/integrated-first-degree/","https://www.bits-pilani.ac.in/academics/integrated-first-degree/")</f>
        <v/>
      </c>
      <c r="D66" s="2" t="inlineStr"/>
      <c r="E66" s="2" t="inlineStr"/>
      <c r="F66" s="2" t="inlineStr"/>
      <c r="G66" s="2" t="inlineStr">
        <is>
          <t>Yes</t>
        </is>
      </c>
    </row>
    <row r="67" ht="18" customHeight="1">
      <c r="A67" s="2" t="inlineStr">
        <is>
          <t>Dubai Campus</t>
        </is>
      </c>
      <c r="B67" s="2" t="inlineStr">
        <is>
          <t>Unknown</t>
        </is>
      </c>
      <c r="C67" s="3">
        <f>HYPERLINK("https://www.bits-pilani.ac.in/academics/dubai-academics/integrated-first-degree/","https://www.bits-pilani.ac.in/academics/dubai-academics/integrated-first-degree/")</f>
        <v/>
      </c>
      <c r="D67" s="2" t="inlineStr"/>
      <c r="E67" s="2" t="inlineStr"/>
      <c r="F67" s="2" t="inlineStr"/>
      <c r="G67" s="2" t="inlineStr">
        <is>
          <t>Yes</t>
        </is>
      </c>
    </row>
    <row r="68" ht="18" customHeight="1">
      <c r="A68" s="2" t="inlineStr">
        <is>
          <t>Consultancy Based Projects</t>
        </is>
      </c>
      <c r="B68" s="2" t="inlineStr">
        <is>
          <t>Unknown</t>
        </is>
      </c>
      <c r="C68" s="3">
        <f>HYPERLINK("https://www.bits-pilani.ac.in/research/research-based-consultancy/","https://www.bits-pilani.ac.in/research/research-based-consultancy/")</f>
        <v/>
      </c>
      <c r="D68" s="2" t="inlineStr"/>
      <c r="E68" s="2" t="inlineStr"/>
      <c r="F68" s="2" t="inlineStr"/>
      <c r="G68" s="2" t="inlineStr">
        <is>
          <t>Yes</t>
        </is>
      </c>
    </row>
  </sheetData>
  <autoFilter ref="A1:G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s="7" t="inlineStr">
        <is>
          <t>University</t>
        </is>
      </c>
      <c r="B2" s="8" t="inlineStr">
        <is>
          <t>Bits Pilani</t>
        </is>
      </c>
    </row>
    <row r="3">
      <c r="A3" s="7" t="inlineStr">
        <is>
          <t>Country</t>
        </is>
      </c>
      <c r="B3" s="8" t="inlineStr"/>
    </row>
    <row r="4">
      <c r="A4" s="7" t="inlineStr">
        <is>
          <t>Date Scraped</t>
        </is>
      </c>
      <c r="B4" s="8" t="inlineStr">
        <is>
          <t>2026-06-17</t>
        </is>
      </c>
    </row>
    <row r="5">
      <c r="A5" s="7" t="inlineStr">
        <is>
          <t>Total Programmes</t>
        </is>
      </c>
      <c r="B5" s="8" t="n">
        <v>67</v>
      </c>
    </row>
    <row r="6">
      <c r="A6" s="7" t="inlineStr">
        <is>
          <t>Bachelor's</t>
        </is>
      </c>
      <c r="B6" s="8" t="n">
        <v>2</v>
      </c>
    </row>
    <row r="7">
      <c r="A7" s="7" t="inlineStr">
        <is>
          <t>Associate</t>
        </is>
      </c>
      <c r="B7" s="8" t="n">
        <v>0</v>
      </c>
    </row>
    <row r="8">
      <c r="A8" s="7" t="inlineStr">
        <is>
          <t>Diploma</t>
        </is>
      </c>
      <c r="B8" s="8" t="n">
        <v>0</v>
      </c>
    </row>
    <row r="9">
      <c r="A9" s="7" t="inlineStr">
        <is>
          <t>NMC: Yes</t>
        </is>
      </c>
      <c r="B9" s="8" t="n">
        <v>66</v>
      </c>
    </row>
    <row r="10">
      <c r="A10" s="7" t="inlineStr">
        <is>
          <t>NMC: No</t>
        </is>
      </c>
      <c r="B10" s="8" t="n">
        <v>1</v>
      </c>
    </row>
    <row r="11">
      <c r="A11" s="7" t="inlineStr">
        <is>
          <t>Scraping Method</t>
        </is>
      </c>
      <c r="B11" s="8" t="n">
        <v>1</v>
      </c>
    </row>
    <row r="12">
      <c r="A12" s="7" t="inlineStr">
        <is>
          <t>Notes</t>
        </is>
      </c>
      <c r="B1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2026-06-17T07:16:51Z</dcterms:created>
  <dcterms:modified xmlns:dcterms="http://purl.org/dc/terms/" xmlns:xsi="http://www.w3.org/2001/XMLSchema-instance" xsi:type="dcterms:W3CDTF">2026-06-17T07:16:51Z</dcterms:modified>
</cp:coreProperties>
</file>